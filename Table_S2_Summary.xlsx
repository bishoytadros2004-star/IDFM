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2_Summary" sheetId="1" state="visible" r:id="rId3"/>
    <sheet name="S1_Edges" sheetId="2" state="visible" r:id="rId4"/>
  </sheets>
  <definedNames>
    <definedName function="false" hidden="true" localSheetId="1" name="_xlnm._FilterDatabase" vbProcedure="false">S1_Edges!$A$1:$J$55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<sst xmlns="http://schemas.openxmlformats.org/spreadsheetml/2006/main" count="408" uniqueCount="210">
  <si>
    <t xml:space="preserve">Drug</t>
  </si>
  <si>
    <t xml:space="preserve">Degree (all edges)</t>
  </si>
  <si>
    <t xml:space="preserve">Tier 1 edges</t>
  </si>
  <si>
    <t xml:space="preserve">Tier 2 edges</t>
  </si>
  <si>
    <t xml:space="preserve">Ivermectin</t>
  </si>
  <si>
    <t xml:space="preserve">Dronedarone</t>
  </si>
  <si>
    <t xml:space="preserve">Fenbendazole</t>
  </si>
  <si>
    <t xml:space="preserve">Methylene Blue</t>
  </si>
  <si>
    <t xml:space="preserve">Total edges</t>
  </si>
  <si>
    <t xml:space="preserve">Network metric</t>
  </si>
  <si>
    <t xml:space="preserve">Full network (all edges)</t>
  </si>
  <si>
    <t xml:space="preserve">Strict network (Tier 1 only)</t>
  </si>
  <si>
    <t xml:space="preserve">Drug nodes</t>
  </si>
  <si>
    <t xml:space="preserve">Unique target nodes</t>
  </si>
  <si>
    <t xml:space="preserve">Total nodes</t>
  </si>
  <si>
    <t xml:space="preserve">Edges</t>
  </si>
  <si>
    <t xml:space="preserve">Targets shared by ≥2 drugs</t>
  </si>
  <si>
    <t xml:space="preserve">Shared targets as % of targets</t>
  </si>
  <si>
    <t xml:space="preserve">Shared targets in the full network: ABCB1 (ivermectin, dronedarone) and CYP2D6 (dronedarone, methylene blue). In the strict network only CYP2D6 remains shared; the dronedarone–ABCB1 edge is Tier 2 (probability 0.282).</t>
  </si>
  <si>
    <t xml:space="preserve">Note: the sheet S1_Edges in this file is a copy of Table S1 (the input for the formulas above). Edit Table S1 and paste it here to update the summary.</t>
  </si>
  <si>
    <t xml:space="preserve">Gene</t>
  </si>
  <si>
    <t xml:space="preserve">Protein name</t>
  </si>
  <si>
    <t xml:space="preserve">UniProt accession</t>
  </si>
  <si>
    <t xml:space="preserve">SwissTargetPrediction probability</t>
  </si>
  <si>
    <t xml:space="preserve">STITCH combined score</t>
  </si>
  <si>
    <t xml:space="preserve">ChEMBL confidence (as recorded)</t>
  </si>
  <si>
    <t xml:space="preserve">Source(s)</t>
  </si>
  <si>
    <t xml:space="preserve">Tier</t>
  </si>
  <si>
    <t xml:space="preserve">Retention note</t>
  </si>
  <si>
    <t xml:space="preserve">ABCB1</t>
  </si>
  <si>
    <t xml:space="preserve">ATP-dependent translocase ABCB1</t>
  </si>
  <si>
    <t xml:space="preserve">P08183</t>
  </si>
  <si>
    <t xml:space="preserve">STITCH</t>
  </si>
  <si>
    <t xml:space="preserve">Tier 1</t>
  </si>
  <si>
    <t xml:space="preserve">Meets threshold</t>
  </si>
  <si>
    <t xml:space="preserve">ABCG2</t>
  </si>
  <si>
    <t xml:space="preserve">ATP-binding cassette sub-family G member 2</t>
  </si>
  <si>
    <t xml:space="preserve">Q9UNQ0</t>
  </si>
  <si>
    <t xml:space="preserve">ATP2A1</t>
  </si>
  <si>
    <t xml:space="preserve">Sarcoplasmic/endoplasmic reticulum calcium ATPase 1</t>
  </si>
  <si>
    <t xml:space="preserve">O14983</t>
  </si>
  <si>
    <t xml:space="preserve">SwissTargetPrediction</t>
  </si>
  <si>
    <t xml:space="preserve">GABRB3</t>
  </si>
  <si>
    <t xml:space="preserve">Gamma-aminobutyric acid receptor subunit beta-3</t>
  </si>
  <si>
    <t xml:space="preserve">P28472</t>
  </si>
  <si>
    <t xml:space="preserve">GLRA3</t>
  </si>
  <si>
    <t xml:space="preserve">Glycine receptor subunit alpha-3</t>
  </si>
  <si>
    <t xml:space="preserve">O75311</t>
  </si>
  <si>
    <t xml:space="preserve">NNMT</t>
  </si>
  <si>
    <t xml:space="preserve">Nicotinamide N-methyltransferase</t>
  </si>
  <si>
    <t xml:space="preserve">P40261</t>
  </si>
  <si>
    <t xml:space="preserve">PRKCA</t>
  </si>
  <si>
    <t xml:space="preserve">Protein kinase C alpha type</t>
  </si>
  <si>
    <t xml:space="preserve">P17252</t>
  </si>
  <si>
    <t xml:space="preserve">PRKCD</t>
  </si>
  <si>
    <t xml:space="preserve">Protein kinase C delta type</t>
  </si>
  <si>
    <t xml:space="preserve">Q05655</t>
  </si>
  <si>
    <t xml:space="preserve">PTGS2</t>
  </si>
  <si>
    <t xml:space="preserve">Prostaglandin G/H synthase 2</t>
  </si>
  <si>
    <t xml:space="preserve">P35354</t>
  </si>
  <si>
    <t xml:space="preserve">ATP2A2</t>
  </si>
  <si>
    <t xml:space="preserve">Sarcoplasmic/endoplasmic reticulum calcium ATPase 2</t>
  </si>
  <si>
    <t xml:space="preserve">P16615</t>
  </si>
  <si>
    <t xml:space="preserve">Tier 2</t>
  </si>
  <si>
    <t xml:space="preserve">Below threshold: STP 0.273 &lt; 0.30</t>
  </si>
  <si>
    <t xml:space="preserve">BRD4</t>
  </si>
  <si>
    <t xml:space="preserve">Bromodomain-containing protein 4</t>
  </si>
  <si>
    <t xml:space="preserve">O60885</t>
  </si>
  <si>
    <t xml:space="preserve">Below threshold: STP 0.205 &lt; 0.30</t>
  </si>
  <si>
    <t xml:space="preserve">CDC25B</t>
  </si>
  <si>
    <t xml:space="preserve">M-phase inducer phosphatase 2</t>
  </si>
  <si>
    <t xml:space="preserve">P30305</t>
  </si>
  <si>
    <t xml:space="preserve">Below threshold: STP 0.222 &lt; 0.30</t>
  </si>
  <si>
    <t xml:space="preserve">IDH1</t>
  </si>
  <si>
    <t xml:space="preserve">Isocitrate dehydrogenase [NADP] cytoplasmic</t>
  </si>
  <si>
    <t xml:space="preserve">O75874</t>
  </si>
  <si>
    <t xml:space="preserve">Below threshold: STP 0.247 &lt; 0.30</t>
  </si>
  <si>
    <t xml:space="preserve">KEAP1</t>
  </si>
  <si>
    <t xml:space="preserve">Kelch-like ECH-associated protein 1</t>
  </si>
  <si>
    <t xml:space="preserve">Q14145</t>
  </si>
  <si>
    <t xml:space="preserve">NR1H4</t>
  </si>
  <si>
    <t xml:space="preserve">Bile acid receptor</t>
  </si>
  <si>
    <t xml:space="preserve">Q96RI1</t>
  </si>
  <si>
    <t xml:space="preserve">Below threshold: STP 0.252 &lt; 0.30</t>
  </si>
  <si>
    <t xml:space="preserve">PTPN11</t>
  </si>
  <si>
    <t xml:space="preserve">Tyrosine-protein phosphatase non-receptor type 11</t>
  </si>
  <si>
    <t xml:space="preserve">Q06124</t>
  </si>
  <si>
    <t xml:space="preserve">Below threshold: STP 0.274 &lt; 0.30</t>
  </si>
  <si>
    <t xml:space="preserve">ADRA1A</t>
  </si>
  <si>
    <t xml:space="preserve">Alpha-1A adrenergic receptor</t>
  </si>
  <si>
    <t xml:space="preserve">P35348</t>
  </si>
  <si>
    <t xml:space="preserve">ADRA1D</t>
  </si>
  <si>
    <t xml:space="preserve">Alpha-1D adrenergic receptor</t>
  </si>
  <si>
    <t xml:space="preserve">P25100</t>
  </si>
  <si>
    <t xml:space="preserve">ADRA2B</t>
  </si>
  <si>
    <t xml:space="preserve">Alpha-2B adrenergic receptor</t>
  </si>
  <si>
    <t xml:space="preserve">P18089</t>
  </si>
  <si>
    <t xml:space="preserve">ADRA2C</t>
  </si>
  <si>
    <t xml:space="preserve">Alpha-2C adrenergic receptor</t>
  </si>
  <si>
    <t xml:space="preserve">P18825</t>
  </si>
  <si>
    <t xml:space="preserve">CACNB1</t>
  </si>
  <si>
    <t xml:space="preserve">Voltage-dependent L-type calcium channel subunit beta-1</t>
  </si>
  <si>
    <t xml:space="preserve">Q02641</t>
  </si>
  <si>
    <t xml:space="preserve">CACNB4</t>
  </si>
  <si>
    <t xml:space="preserve">Voltage-dependent L-type calcium channel subunit beta-4</t>
  </si>
  <si>
    <t xml:space="preserve">O00305</t>
  </si>
  <si>
    <t xml:space="preserve">CYP2D6</t>
  </si>
  <si>
    <t xml:space="preserve">Cytochrome P450 2D6</t>
  </si>
  <si>
    <t xml:space="preserve">P10635</t>
  </si>
  <si>
    <t xml:space="preserve">KCNA5</t>
  </si>
  <si>
    <t xml:space="preserve">Potassium voltage-gated channel subfamily A member 5</t>
  </si>
  <si>
    <t xml:space="preserve">P22460</t>
  </si>
  <si>
    <t xml:space="preserve">STITCH; SwissTargetPrediction</t>
  </si>
  <si>
    <t xml:space="preserve">KCNH2</t>
  </si>
  <si>
    <t xml:space="preserve">Potassium voltage-gated channel subfamily H member 2 (hERG)</t>
  </si>
  <si>
    <t xml:space="preserve">Q12809</t>
  </si>
  <si>
    <t xml:space="preserve">KCNK2</t>
  </si>
  <si>
    <t xml:space="preserve">Potassium channel subfamily K member 2</t>
  </si>
  <si>
    <t xml:space="preserve">O95069</t>
  </si>
  <si>
    <t xml:space="preserve">SIRT3</t>
  </si>
  <si>
    <t xml:space="preserve">NAD-dependent protein deacetylase sirtuin-3</t>
  </si>
  <si>
    <t xml:space="preserve">Q9NTG7</t>
  </si>
  <si>
    <t xml:space="preserve">Below threshold: STP 0.282 &lt; 0.30</t>
  </si>
  <si>
    <t xml:space="preserve">ALK</t>
  </si>
  <si>
    <t xml:space="preserve">ALK tyrosine kinase receptor</t>
  </si>
  <si>
    <t xml:space="preserve">Q9UM73</t>
  </si>
  <si>
    <t xml:space="preserve">Below threshold: STP 0.228 &lt; 0.30</t>
  </si>
  <si>
    <t xml:space="preserve">CHRM3</t>
  </si>
  <si>
    <t xml:space="preserve">Muscarinic acetylcholine receptor M3</t>
  </si>
  <si>
    <t xml:space="preserve">P20309</t>
  </si>
  <si>
    <t xml:space="preserve">Below threshold: STP 0.283 &lt; 0.30</t>
  </si>
  <si>
    <t xml:space="preserve">DRD2</t>
  </si>
  <si>
    <t xml:space="preserve">D(2) dopamine receptor</t>
  </si>
  <si>
    <t xml:space="preserve">P14416</t>
  </si>
  <si>
    <t xml:space="preserve">Below threshold: STP 0.256 &lt; 0.30</t>
  </si>
  <si>
    <t xml:space="preserve">DRD3</t>
  </si>
  <si>
    <t xml:space="preserve">D(3) dopamine receptor</t>
  </si>
  <si>
    <t xml:space="preserve">P35462</t>
  </si>
  <si>
    <t xml:space="preserve">DRD4</t>
  </si>
  <si>
    <t xml:space="preserve">D(4) dopamine receptor</t>
  </si>
  <si>
    <t xml:space="preserve">P21917</t>
  </si>
  <si>
    <t xml:space="preserve">Below threshold: STP 0.244 &lt; 0.30</t>
  </si>
  <si>
    <t xml:space="preserve">HTR2C</t>
  </si>
  <si>
    <t xml:space="preserve">5-hydroxytryptamine receptor 2C</t>
  </si>
  <si>
    <t xml:space="preserve">P28335</t>
  </si>
  <si>
    <t xml:space="preserve">Below threshold: STP 0.238 &lt; 0.30</t>
  </si>
  <si>
    <t xml:space="preserve">ADORA2A</t>
  </si>
  <si>
    <t xml:space="preserve">Adenosine receptor A2a</t>
  </si>
  <si>
    <t xml:space="preserve">P29274</t>
  </si>
  <si>
    <t xml:space="preserve">CXCL8</t>
  </si>
  <si>
    <t xml:space="preserve">Interleukin-8 (IL-8)</t>
  </si>
  <si>
    <t xml:space="preserve">P10145</t>
  </si>
  <si>
    <t xml:space="preserve">MAPK14</t>
  </si>
  <si>
    <t xml:space="preserve">Mitogen-activated protein kinase 14</t>
  </si>
  <si>
    <t xml:space="preserve">Q16539</t>
  </si>
  <si>
    <t xml:space="preserve">TNF</t>
  </si>
  <si>
    <t xml:space="preserve">Tumor necrosis factor</t>
  </si>
  <si>
    <t xml:space="preserve">P01375</t>
  </si>
  <si>
    <t xml:space="preserve">ABL1</t>
  </si>
  <si>
    <t xml:space="preserve">Tyrosine-protein kinase ABL1</t>
  </si>
  <si>
    <t xml:space="preserve">P00519</t>
  </si>
  <si>
    <t xml:space="preserve">Below threshold: STP 0.059 &lt; 0.30</t>
  </si>
  <si>
    <t xml:space="preserve">FMR1</t>
  </si>
  <si>
    <t xml:space="preserve">Synaptic functional regulator FMR1</t>
  </si>
  <si>
    <t xml:space="preserve">Q06787</t>
  </si>
  <si>
    <t xml:space="preserve">Below threshold: STITCH 0.414 &lt; 0.70</t>
  </si>
  <si>
    <t xml:space="preserve">KDR</t>
  </si>
  <si>
    <t xml:space="preserve">Vascular endothelial growth factor receptor 2</t>
  </si>
  <si>
    <t xml:space="preserve">P35968</t>
  </si>
  <si>
    <t xml:space="preserve">Below threshold: STP 0.144 &lt; 0.30</t>
  </si>
  <si>
    <t xml:space="preserve">MMP1</t>
  </si>
  <si>
    <t xml:space="preserve">Interstitial collagenase</t>
  </si>
  <si>
    <t xml:space="preserve">P03956</t>
  </si>
  <si>
    <t xml:space="preserve">Below threshold: STP 0.111 &lt; 0.30</t>
  </si>
  <si>
    <t xml:space="preserve">TEK</t>
  </si>
  <si>
    <t xml:space="preserve">Angiopoietin-1 receptor</t>
  </si>
  <si>
    <t xml:space="preserve">Q02763</t>
  </si>
  <si>
    <t xml:space="preserve">Below threshold: STP 0.108 &lt; 0.30</t>
  </si>
  <si>
    <t xml:space="preserve">TROVE2</t>
  </si>
  <si>
    <t xml:space="preserve">60 kDa SS-A/Ro ribonucleoprotein</t>
  </si>
  <si>
    <t xml:space="preserve">P10155</t>
  </si>
  <si>
    <t xml:space="preserve">Below threshold: STITCH 0.510 &lt; 0.70</t>
  </si>
  <si>
    <t xml:space="preserve">ACHE</t>
  </si>
  <si>
    <t xml:space="preserve">Acetylcholinesterase</t>
  </si>
  <si>
    <t xml:space="preserve">P22303</t>
  </si>
  <si>
    <t xml:space="preserve">ChEMBL Target DB</t>
  </si>
  <si>
    <t xml:space="preserve">BCHE</t>
  </si>
  <si>
    <t xml:space="preserve">Cholinesterase</t>
  </si>
  <si>
    <t xml:space="preserve">P06276</t>
  </si>
  <si>
    <t xml:space="preserve">CYP1A2</t>
  </si>
  <si>
    <t xml:space="preserve">Cytochrome P450 1A2</t>
  </si>
  <si>
    <t xml:space="preserve">P05177</t>
  </si>
  <si>
    <t xml:space="preserve">GUCY1A1</t>
  </si>
  <si>
    <t xml:space="preserve">Soluble guanylate cyclase subunit alpha-1</t>
  </si>
  <si>
    <t xml:space="preserve">Q02108</t>
  </si>
  <si>
    <t xml:space="preserve">MAOA</t>
  </si>
  <si>
    <t xml:space="preserve">Monoamine oxidase A</t>
  </si>
  <si>
    <t xml:space="preserve">P21397</t>
  </si>
  <si>
    <t xml:space="preserve">MAOB</t>
  </si>
  <si>
    <t xml:space="preserve">Monoamine oxidase B</t>
  </si>
  <si>
    <t xml:space="preserve">P27338</t>
  </si>
  <si>
    <t xml:space="preserve">MAPT</t>
  </si>
  <si>
    <t xml:space="preserve">Microtubule-associated protein tau</t>
  </si>
  <si>
    <t xml:space="preserve">P10636</t>
  </si>
  <si>
    <t xml:space="preserve">NOS1</t>
  </si>
  <si>
    <t xml:space="preserve">Nitric oxide synthase, brain</t>
  </si>
  <si>
    <t xml:space="preserve">P29475</t>
  </si>
  <si>
    <t xml:space="preserve">NOS2</t>
  </si>
  <si>
    <t xml:space="preserve">Nitric oxide synthase, inducible</t>
  </si>
  <si>
    <t xml:space="preserve">P35228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</si>
</sst>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%"/>
    <numFmt numFmtId="166" formatCode="0.00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DE9D9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3864"/>
          <bgColor rgb="FF000000"/>
        </patternFill>
      </fill>
    </dxf>
    <dxf>
      <fill>
        <patternFill patternType="solid">
          <fgColor rgb="FFFDE9D9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DE9D9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3" min="2" style="1" width="26"/>
    <col collapsed="false" customWidth="true" hidden="false" outlineLevel="0" max="4" min="4" style="1" width="16"/>
  </cols>
  <sheetData>
    <row r="1" customFormat="false" ht="1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</row>
    <row r="2" customFormat="false" ht="15" hidden="false" customHeight="true" outlineLevel="0" collapsed="false">
      <c r="A2" s="3" t="s">
        <v>4</v>
      </c>
      <c r="B2" s="3" t="n">
        <f aca="false">COUNTIF(S1_Edges!$A$2:$A$55,A2)</f>
        <v>16</v>
      </c>
      <c r="C2" s="3" t="n">
        <f aca="false">COUNTIFS(S1_Edges!$A$2:$A$55,A2,S1_Edges!$I$2:$I$55,"Tier 1")</f>
        <v>9</v>
      </c>
      <c r="D2" s="3" t="n">
        <f aca="false">COUNTIFS(S1_Edges!$A$2:$A$55,A2,S1_Edges!$I$2:$I$55,"Tier 2")</f>
        <v>7</v>
      </c>
    </row>
    <row r="3" customFormat="false" ht="15" hidden="false" customHeight="true" outlineLevel="0" collapsed="false">
      <c r="A3" s="3" t="s">
        <v>5</v>
      </c>
      <c r="B3" s="3" t="n">
        <f aca="false">COUNTIF(S1_Edges!$A$2:$A$55,A3)</f>
        <v>18</v>
      </c>
      <c r="C3" s="3" t="n">
        <f aca="false">COUNTIFS(S1_Edges!$A$2:$A$55,A3,S1_Edges!$I$2:$I$55,"Tier 1")</f>
        <v>11</v>
      </c>
      <c r="D3" s="3" t="n">
        <f aca="false">COUNTIFS(S1_Edges!$A$2:$A$55,A3,S1_Edges!$I$2:$I$55,"Tier 2")</f>
        <v>7</v>
      </c>
    </row>
    <row r="4" customFormat="false" ht="15" hidden="false" customHeight="true" outlineLevel="0" collapsed="false">
      <c r="A4" s="3" t="s">
        <v>6</v>
      </c>
      <c r="B4" s="3" t="n">
        <f aca="false">COUNTIF(S1_Edges!$A$2:$A$55,A4)</f>
        <v>10</v>
      </c>
      <c r="C4" s="3" t="n">
        <f aca="false">COUNTIFS(S1_Edges!$A$2:$A$55,A4,S1_Edges!$I$2:$I$55,"Tier 1")</f>
        <v>4</v>
      </c>
      <c r="D4" s="3" t="n">
        <f aca="false">COUNTIFS(S1_Edges!$A$2:$A$55,A4,S1_Edges!$I$2:$I$55,"Tier 2")</f>
        <v>6</v>
      </c>
    </row>
    <row r="5" customFormat="false" ht="15" hidden="false" customHeight="true" outlineLevel="0" collapsed="false">
      <c r="A5" s="3" t="s">
        <v>7</v>
      </c>
      <c r="B5" s="3" t="n">
        <f aca="false">COUNTIF(S1_Edges!$A$2:$A$55,A5)</f>
        <v>10</v>
      </c>
      <c r="C5" s="3" t="n">
        <f aca="false">COUNTIFS(S1_Edges!$A$2:$A$55,A5,S1_Edges!$I$2:$I$55,"Tier 1")</f>
        <v>10</v>
      </c>
      <c r="D5" s="3" t="n">
        <f aca="false">COUNTIFS(S1_Edges!$A$2:$A$55,A5,S1_Edges!$I$2:$I$55,"Tier 2")</f>
        <v>0</v>
      </c>
    </row>
    <row r="6" customFormat="false" ht="15" hidden="false" customHeight="true" outlineLevel="0" collapsed="false">
      <c r="A6" s="4" t="s">
        <v>8</v>
      </c>
      <c r="B6" s="3" t="n">
        <f aca="false">SUM(B2:B5)</f>
        <v>54</v>
      </c>
      <c r="C6" s="3" t="n">
        <f aca="false">SUM(C2:C5)</f>
        <v>34</v>
      </c>
      <c r="D6" s="3" t="n">
        <f aca="false">SUM(D2:D5)</f>
        <v>20</v>
      </c>
    </row>
    <row r="8" customFormat="false" ht="30" hidden="false" customHeight="true" outlineLevel="0" collapsed="false">
      <c r="A8" s="2" t="s">
        <v>9</v>
      </c>
      <c r="B8" s="2" t="s">
        <v>10</v>
      </c>
      <c r="C8" s="2" t="s">
        <v>11</v>
      </c>
    </row>
    <row r="9" customFormat="false" ht="15" hidden="false" customHeight="true" outlineLevel="0" collapsed="false">
      <c r="A9" s="3" t="s">
        <v>12</v>
      </c>
      <c r="B9" s="3" t="n">
        <v>4</v>
      </c>
      <c r="C9" s="3" t="n">
        <v>4</v>
      </c>
    </row>
    <row r="10" customFormat="false" ht="15" hidden="false" customHeight="true" outlineLevel="0" collapsed="false">
      <c r="A10" s="3" t="s">
        <v>13</v>
      </c>
      <c r="B10" s="3" t="n">
        <f aca="false">SUMPRODUCT(1/COUNTIF(S1_Edges!$B$2:$B$55,S1_Edges!$B$2:$B$55))</f>
        <v>52</v>
      </c>
      <c r="C10" s="3" t="n">
        <f aca="false">SUMPRODUCT((S1_Edges!$I$2:$I$55="Tier 1")/(COUNTIFS(S1_Edges!$B$2:$B$55,S1_Edges!$B$2:$B$55,S1_Edges!$I$2:$I$55,"Tier 1")+(S1_Edges!$I$2:$I$55&lt;&gt;"Tier 1")))</f>
        <v>33</v>
      </c>
    </row>
    <row r="11" customFormat="false" ht="15" hidden="false" customHeight="true" outlineLevel="0" collapsed="false">
      <c r="A11" s="3" t="s">
        <v>14</v>
      </c>
      <c r="B11" s="3" t="n">
        <f aca="false">B9+B10</f>
        <v>56</v>
      </c>
      <c r="C11" s="3" t="n">
        <f aca="false">C9+C10</f>
        <v>37</v>
      </c>
    </row>
    <row r="12" customFormat="false" ht="15" hidden="false" customHeight="true" outlineLevel="0" collapsed="false">
      <c r="A12" s="3" t="s">
        <v>15</v>
      </c>
      <c r="B12" s="3" t="n">
        <f aca="false">B6</f>
        <v>54</v>
      </c>
      <c r="C12" s="3" t="n">
        <f aca="false">C6</f>
        <v>34</v>
      </c>
    </row>
    <row r="13" customFormat="false" ht="15" hidden="false" customHeight="true" outlineLevel="0" collapsed="false">
      <c r="A13" s="3" t="s">
        <v>16</v>
      </c>
      <c r="B13" s="3" t="n">
        <f aca="false">SUMPRODUCT((COUNTIF(S1_Edges!$B$2:$B$55,S1_Edges!$B$2:$B$55)&gt;1)/COUNTIF(S1_Edges!$B$2:$B$55,S1_Edges!$B$2:$B$55))</f>
        <v>2</v>
      </c>
      <c r="C13" s="3" t="n">
        <f aca="false">SUMPRODUCT((S1_Edges!$I$2:$I$55="Tier 1")*(COUNTIFS(S1_Edges!$B$2:$B$55,S1_Edges!$B$2:$B$55,S1_Edges!$I$2:$I$55,"Tier 1")&gt;1)/(COUNTIFS(S1_Edges!$B$2:$B$55,S1_Edges!$B$2:$B$55,S1_Edges!$I$2:$I$55,"Tier 1")+(S1_Edges!$I$2:$I$55&lt;&gt;"Tier 1")))</f>
        <v>1</v>
      </c>
    </row>
    <row r="14" customFormat="false" ht="15" hidden="false" customHeight="true" outlineLevel="0" collapsed="false">
      <c r="A14" s="3" t="s">
        <v>17</v>
      </c>
      <c r="B14" s="5" t="n">
        <f aca="false">B13/B10</f>
        <v>0.0384615384615385</v>
      </c>
      <c r="C14" s="5" t="n">
        <f aca="false">C13/C10</f>
        <v>0.0303030303030303</v>
      </c>
    </row>
    <row r="16" customFormat="false" ht="48" hidden="false" customHeight="true" outlineLevel="0" collapsed="false">
      <c r="A16" s="6" t="s">
        <v>18</v>
      </c>
      <c r="B16" s="6"/>
      <c r="C16" s="6"/>
      <c r="D16" s="6"/>
    </row>
    <row r="18" customFormat="false" ht="39.75" hidden="false" customHeight="true" outlineLevel="0" collapsed="false">
      <c r="A18" s="6" t="s">
        <v>19</v>
      </c>
      <c r="B18" s="6"/>
      <c r="C18" s="6"/>
      <c r="D18" s="6"/>
    </row>
  </sheetData>
  <mergeCells count="2">
    <mergeCell ref="A16:D16"/>
    <mergeCell ref="A18:D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10"/>
    <col collapsed="false" customWidth="true" hidden="false" outlineLevel="0" max="3" min="3" style="1" width="52"/>
    <col collapsed="false" customWidth="true" hidden="false" outlineLevel="0" max="4" min="4" style="1" width="12"/>
    <col collapsed="false" customWidth="true" hidden="false" outlineLevel="0" max="5" min="5" style="1" width="16"/>
    <col collapsed="false" customWidth="true" hidden="false" outlineLevel="0" max="6" min="6" style="1" width="14"/>
    <col collapsed="false" customWidth="true" hidden="false" outlineLevel="0" max="7" min="7" style="1" width="16"/>
    <col collapsed="false" customWidth="true" hidden="false" outlineLevel="0" max="8" min="8" style="1" width="30"/>
    <col collapsed="false" customWidth="true" hidden="false" outlineLevel="0" max="9" min="9" style="1" width="9"/>
    <col collapsed="false" customWidth="true" hidden="false" outlineLevel="0" max="10" min="10" style="1" width="32"/>
  </cols>
  <sheetData>
    <row r="1" customFormat="false" ht="42" hidden="false" customHeight="true" outlineLevel="0" collapsed="false">
      <c r="A1" s="2" t="s">
        <v>0</v>
      </c>
      <c r="B1" s="2" t="s">
        <v>20</v>
      </c>
      <c r="C1" s="2" t="s">
        <v>21</v>
      </c>
      <c r="D1" s="2" t="s">
        <v>22</v>
      </c>
      <c r="E1" s="2" t="s">
        <v>23</v>
      </c>
      <c r="F1" s="2" t="s">
        <v>24</v>
      </c>
      <c r="G1" s="2" t="s">
        <v>25</v>
      </c>
      <c r="H1" s="2" t="s">
        <v>26</v>
      </c>
      <c r="I1" s="2" t="s">
        <v>27</v>
      </c>
      <c r="J1" s="2" t="s">
        <v>28</v>
      </c>
    </row>
    <row r="2" customFormat="false" ht="15" hidden="false" customHeight="true" outlineLevel="0" collapsed="false">
      <c r="A2" s="3" t="s">
        <v>4</v>
      </c>
      <c r="B2" s="3" t="s">
        <v>29</v>
      </c>
      <c r="C2" s="3" t="s">
        <v>30</v>
      </c>
      <c r="D2" s="3" t="s">
        <v>31</v>
      </c>
      <c r="E2" s="3"/>
      <c r="F2" s="7" t="n">
        <v>0.97</v>
      </c>
      <c r="G2" s="3"/>
      <c r="H2" s="3" t="s">
        <v>32</v>
      </c>
      <c r="I2" s="3" t="s">
        <v>33</v>
      </c>
      <c r="J2" s="3" t="s">
        <v>34</v>
      </c>
    </row>
    <row r="3" customFormat="false" ht="15" hidden="false" customHeight="true" outlineLevel="0" collapsed="false">
      <c r="A3" s="3" t="s">
        <v>4</v>
      </c>
      <c r="B3" s="3" t="s">
        <v>35</v>
      </c>
      <c r="C3" s="3" t="s">
        <v>36</v>
      </c>
      <c r="D3" s="3" t="s">
        <v>37</v>
      </c>
      <c r="E3" s="3"/>
      <c r="F3" s="7" t="n">
        <v>0.768</v>
      </c>
      <c r="G3" s="3"/>
      <c r="H3" s="3" t="s">
        <v>32</v>
      </c>
      <c r="I3" s="3" t="s">
        <v>33</v>
      </c>
      <c r="J3" s="3" t="s">
        <v>34</v>
      </c>
    </row>
    <row r="4" customFormat="false" ht="15" hidden="false" customHeight="true" outlineLevel="0" collapsed="false">
      <c r="A4" s="3" t="s">
        <v>4</v>
      </c>
      <c r="B4" s="3" t="s">
        <v>38</v>
      </c>
      <c r="C4" s="3" t="s">
        <v>39</v>
      </c>
      <c r="D4" s="3" t="s">
        <v>40</v>
      </c>
      <c r="E4" s="7" t="n">
        <v>0.353</v>
      </c>
      <c r="F4" s="3"/>
      <c r="G4" s="3"/>
      <c r="H4" s="3" t="s">
        <v>41</v>
      </c>
      <c r="I4" s="3" t="s">
        <v>33</v>
      </c>
      <c r="J4" s="3" t="s">
        <v>34</v>
      </c>
    </row>
    <row r="5" customFormat="false" ht="15" hidden="false" customHeight="true" outlineLevel="0" collapsed="false">
      <c r="A5" s="3" t="s">
        <v>4</v>
      </c>
      <c r="B5" s="3" t="s">
        <v>42</v>
      </c>
      <c r="C5" s="3" t="s">
        <v>43</v>
      </c>
      <c r="D5" s="3" t="s">
        <v>44</v>
      </c>
      <c r="E5" s="3"/>
      <c r="F5" s="7" t="n">
        <v>0.842</v>
      </c>
      <c r="G5" s="3"/>
      <c r="H5" s="3" t="s">
        <v>32</v>
      </c>
      <c r="I5" s="3" t="s">
        <v>33</v>
      </c>
      <c r="J5" s="3" t="s">
        <v>34</v>
      </c>
    </row>
    <row r="6" customFormat="false" ht="15" hidden="false" customHeight="true" outlineLevel="0" collapsed="false">
      <c r="A6" s="3" t="s">
        <v>4</v>
      </c>
      <c r="B6" s="3" t="s">
        <v>45</v>
      </c>
      <c r="C6" s="3" t="s">
        <v>46</v>
      </c>
      <c r="D6" s="3" t="s">
        <v>47</v>
      </c>
      <c r="E6" s="3"/>
      <c r="F6" s="7" t="n">
        <v>0.842</v>
      </c>
      <c r="G6" s="3"/>
      <c r="H6" s="3" t="s">
        <v>32</v>
      </c>
      <c r="I6" s="3" t="s">
        <v>33</v>
      </c>
      <c r="J6" s="3" t="s">
        <v>34</v>
      </c>
    </row>
    <row r="7" customFormat="false" ht="15" hidden="false" customHeight="true" outlineLevel="0" collapsed="false">
      <c r="A7" s="3" t="s">
        <v>4</v>
      </c>
      <c r="B7" s="3" t="s">
        <v>48</v>
      </c>
      <c r="C7" s="3" t="s">
        <v>49</v>
      </c>
      <c r="D7" s="3" t="s">
        <v>50</v>
      </c>
      <c r="E7" s="7" t="n">
        <v>0.317</v>
      </c>
      <c r="F7" s="3"/>
      <c r="G7" s="3"/>
      <c r="H7" s="3" t="s">
        <v>41</v>
      </c>
      <c r="I7" s="3" t="s">
        <v>33</v>
      </c>
      <c r="J7" s="3" t="s">
        <v>34</v>
      </c>
    </row>
    <row r="8" customFormat="false" ht="15" hidden="false" customHeight="true" outlineLevel="0" collapsed="false">
      <c r="A8" s="3" t="s">
        <v>4</v>
      </c>
      <c r="B8" s="3" t="s">
        <v>51</v>
      </c>
      <c r="C8" s="3" t="s">
        <v>52</v>
      </c>
      <c r="D8" s="3" t="s">
        <v>53</v>
      </c>
      <c r="E8" s="7" t="n">
        <v>0.431</v>
      </c>
      <c r="F8" s="3"/>
      <c r="G8" s="3"/>
      <c r="H8" s="3" t="s">
        <v>41</v>
      </c>
      <c r="I8" s="3" t="s">
        <v>33</v>
      </c>
      <c r="J8" s="3" t="s">
        <v>34</v>
      </c>
    </row>
    <row r="9" customFormat="false" ht="15" hidden="false" customHeight="true" outlineLevel="0" collapsed="false">
      <c r="A9" s="3" t="s">
        <v>4</v>
      </c>
      <c r="B9" s="3" t="s">
        <v>54</v>
      </c>
      <c r="C9" s="3" t="s">
        <v>55</v>
      </c>
      <c r="D9" s="3" t="s">
        <v>56</v>
      </c>
      <c r="E9" s="7" t="n">
        <v>0.429</v>
      </c>
      <c r="F9" s="3"/>
      <c r="G9" s="3"/>
      <c r="H9" s="3" t="s">
        <v>41</v>
      </c>
      <c r="I9" s="3" t="s">
        <v>33</v>
      </c>
      <c r="J9" s="3" t="s">
        <v>34</v>
      </c>
    </row>
    <row r="10" customFormat="false" ht="15" hidden="false" customHeight="true" outlineLevel="0" collapsed="false">
      <c r="A10" s="3" t="s">
        <v>4</v>
      </c>
      <c r="B10" s="3" t="s">
        <v>57</v>
      </c>
      <c r="C10" s="3" t="s">
        <v>58</v>
      </c>
      <c r="D10" s="3" t="s">
        <v>59</v>
      </c>
      <c r="E10" s="3"/>
      <c r="F10" s="7" t="n">
        <v>0.8</v>
      </c>
      <c r="G10" s="3"/>
      <c r="H10" s="3" t="s">
        <v>32</v>
      </c>
      <c r="I10" s="3" t="s">
        <v>33</v>
      </c>
      <c r="J10" s="3" t="s">
        <v>34</v>
      </c>
    </row>
    <row r="11" customFormat="false" ht="15" hidden="false" customHeight="true" outlineLevel="0" collapsed="false">
      <c r="A11" s="8" t="s">
        <v>4</v>
      </c>
      <c r="B11" s="8" t="s">
        <v>60</v>
      </c>
      <c r="C11" s="8" t="s">
        <v>61</v>
      </c>
      <c r="D11" s="8" t="s">
        <v>62</v>
      </c>
      <c r="E11" s="9" t="n">
        <v>0.273</v>
      </c>
      <c r="F11" s="8"/>
      <c r="G11" s="8"/>
      <c r="H11" s="8" t="s">
        <v>41</v>
      </c>
      <c r="I11" s="8" t="s">
        <v>63</v>
      </c>
      <c r="J11" s="8" t="s">
        <v>64</v>
      </c>
    </row>
    <row r="12" customFormat="false" ht="15" hidden="false" customHeight="true" outlineLevel="0" collapsed="false">
      <c r="A12" s="8" t="s">
        <v>4</v>
      </c>
      <c r="B12" s="8" t="s">
        <v>65</v>
      </c>
      <c r="C12" s="8" t="s">
        <v>66</v>
      </c>
      <c r="D12" s="8" t="s">
        <v>67</v>
      </c>
      <c r="E12" s="9" t="n">
        <v>0.205</v>
      </c>
      <c r="F12" s="8"/>
      <c r="G12" s="8"/>
      <c r="H12" s="8" t="s">
        <v>41</v>
      </c>
      <c r="I12" s="8" t="s">
        <v>63</v>
      </c>
      <c r="J12" s="8" t="s">
        <v>68</v>
      </c>
    </row>
    <row r="13" customFormat="false" ht="15" hidden="false" customHeight="true" outlineLevel="0" collapsed="false">
      <c r="A13" s="8" t="s">
        <v>4</v>
      </c>
      <c r="B13" s="8" t="s">
        <v>69</v>
      </c>
      <c r="C13" s="8" t="s">
        <v>70</v>
      </c>
      <c r="D13" s="8" t="s">
        <v>71</v>
      </c>
      <c r="E13" s="9" t="n">
        <v>0.222</v>
      </c>
      <c r="F13" s="8"/>
      <c r="G13" s="8"/>
      <c r="H13" s="8" t="s">
        <v>41</v>
      </c>
      <c r="I13" s="8" t="s">
        <v>63</v>
      </c>
      <c r="J13" s="8" t="s">
        <v>72</v>
      </c>
    </row>
    <row r="14" customFormat="false" ht="15" hidden="false" customHeight="true" outlineLevel="0" collapsed="false">
      <c r="A14" s="8" t="s">
        <v>4</v>
      </c>
      <c r="B14" s="8" t="s">
        <v>73</v>
      </c>
      <c r="C14" s="8" t="s">
        <v>74</v>
      </c>
      <c r="D14" s="8" t="s">
        <v>75</v>
      </c>
      <c r="E14" s="9" t="n">
        <v>0.247</v>
      </c>
      <c r="F14" s="8"/>
      <c r="G14" s="8"/>
      <c r="H14" s="8" t="s">
        <v>41</v>
      </c>
      <c r="I14" s="8" t="s">
        <v>63</v>
      </c>
      <c r="J14" s="8" t="s">
        <v>76</v>
      </c>
    </row>
    <row r="15" customFormat="false" ht="15" hidden="false" customHeight="true" outlineLevel="0" collapsed="false">
      <c r="A15" s="8" t="s">
        <v>4</v>
      </c>
      <c r="B15" s="8" t="s">
        <v>77</v>
      </c>
      <c r="C15" s="8" t="s">
        <v>78</v>
      </c>
      <c r="D15" s="8" t="s">
        <v>79</v>
      </c>
      <c r="E15" s="9" t="n">
        <v>0.273</v>
      </c>
      <c r="F15" s="8"/>
      <c r="G15" s="8"/>
      <c r="H15" s="8" t="s">
        <v>41</v>
      </c>
      <c r="I15" s="8" t="s">
        <v>63</v>
      </c>
      <c r="J15" s="8" t="s">
        <v>64</v>
      </c>
    </row>
    <row r="16" customFormat="false" ht="15" hidden="false" customHeight="true" outlineLevel="0" collapsed="false">
      <c r="A16" s="8" t="s">
        <v>4</v>
      </c>
      <c r="B16" s="8" t="s">
        <v>80</v>
      </c>
      <c r="C16" s="8" t="s">
        <v>81</v>
      </c>
      <c r="D16" s="8" t="s">
        <v>82</v>
      </c>
      <c r="E16" s="9" t="n">
        <v>0.252</v>
      </c>
      <c r="F16" s="8"/>
      <c r="G16" s="8"/>
      <c r="H16" s="8" t="s">
        <v>41</v>
      </c>
      <c r="I16" s="8" t="s">
        <v>63</v>
      </c>
      <c r="J16" s="8" t="s">
        <v>83</v>
      </c>
    </row>
    <row r="17" customFormat="false" ht="15" hidden="false" customHeight="true" outlineLevel="0" collapsed="false">
      <c r="A17" s="8" t="s">
        <v>4</v>
      </c>
      <c r="B17" s="8" t="s">
        <v>84</v>
      </c>
      <c r="C17" s="8" t="s">
        <v>85</v>
      </c>
      <c r="D17" s="8" t="s">
        <v>86</v>
      </c>
      <c r="E17" s="9" t="n">
        <v>0.274</v>
      </c>
      <c r="F17" s="8"/>
      <c r="G17" s="8"/>
      <c r="H17" s="8" t="s">
        <v>41</v>
      </c>
      <c r="I17" s="8" t="s">
        <v>63</v>
      </c>
      <c r="J17" s="8" t="s">
        <v>87</v>
      </c>
    </row>
    <row r="18" customFormat="false" ht="15" hidden="false" customHeight="true" outlineLevel="0" collapsed="false">
      <c r="A18" s="3" t="s">
        <v>5</v>
      </c>
      <c r="B18" s="3" t="s">
        <v>88</v>
      </c>
      <c r="C18" s="3" t="s">
        <v>89</v>
      </c>
      <c r="D18" s="3" t="s">
        <v>90</v>
      </c>
      <c r="E18" s="3"/>
      <c r="F18" s="7" t="n">
        <v>0.8</v>
      </c>
      <c r="G18" s="3"/>
      <c r="H18" s="3" t="s">
        <v>32</v>
      </c>
      <c r="I18" s="3" t="s">
        <v>33</v>
      </c>
      <c r="J18" s="3" t="s">
        <v>34</v>
      </c>
    </row>
    <row r="19" customFormat="false" ht="15" hidden="false" customHeight="true" outlineLevel="0" collapsed="false">
      <c r="A19" s="3" t="s">
        <v>5</v>
      </c>
      <c r="B19" s="3" t="s">
        <v>91</v>
      </c>
      <c r="C19" s="3" t="s">
        <v>92</v>
      </c>
      <c r="D19" s="3" t="s">
        <v>93</v>
      </c>
      <c r="E19" s="3"/>
      <c r="F19" s="7" t="n">
        <v>0.8</v>
      </c>
      <c r="G19" s="3"/>
      <c r="H19" s="3" t="s">
        <v>32</v>
      </c>
      <c r="I19" s="3" t="s">
        <v>33</v>
      </c>
      <c r="J19" s="3" t="s">
        <v>34</v>
      </c>
    </row>
    <row r="20" customFormat="false" ht="15" hidden="false" customHeight="true" outlineLevel="0" collapsed="false">
      <c r="A20" s="3" t="s">
        <v>5</v>
      </c>
      <c r="B20" s="3" t="s">
        <v>94</v>
      </c>
      <c r="C20" s="3" t="s">
        <v>95</v>
      </c>
      <c r="D20" s="3" t="s">
        <v>96</v>
      </c>
      <c r="E20" s="3"/>
      <c r="F20" s="7" t="n">
        <v>0.8</v>
      </c>
      <c r="G20" s="3"/>
      <c r="H20" s="3" t="s">
        <v>32</v>
      </c>
      <c r="I20" s="3" t="s">
        <v>33</v>
      </c>
      <c r="J20" s="3" t="s">
        <v>34</v>
      </c>
    </row>
    <row r="21" customFormat="false" ht="15" hidden="false" customHeight="true" outlineLevel="0" collapsed="false">
      <c r="A21" s="3" t="s">
        <v>5</v>
      </c>
      <c r="B21" s="3" t="s">
        <v>97</v>
      </c>
      <c r="C21" s="3" t="s">
        <v>98</v>
      </c>
      <c r="D21" s="3" t="s">
        <v>99</v>
      </c>
      <c r="E21" s="3"/>
      <c r="F21" s="7" t="n">
        <v>0.8</v>
      </c>
      <c r="G21" s="3"/>
      <c r="H21" s="3" t="s">
        <v>32</v>
      </c>
      <c r="I21" s="3" t="s">
        <v>33</v>
      </c>
      <c r="J21" s="3" t="s">
        <v>34</v>
      </c>
    </row>
    <row r="22" customFormat="false" ht="15" hidden="false" customHeight="true" outlineLevel="0" collapsed="false">
      <c r="A22" s="3" t="s">
        <v>5</v>
      </c>
      <c r="B22" s="3" t="s">
        <v>100</v>
      </c>
      <c r="C22" s="3" t="s">
        <v>101</v>
      </c>
      <c r="D22" s="3" t="s">
        <v>102</v>
      </c>
      <c r="E22" s="3"/>
      <c r="F22" s="7" t="n">
        <v>0.8</v>
      </c>
      <c r="G22" s="3"/>
      <c r="H22" s="3" t="s">
        <v>32</v>
      </c>
      <c r="I22" s="3" t="s">
        <v>33</v>
      </c>
      <c r="J22" s="3" t="s">
        <v>34</v>
      </c>
    </row>
    <row r="23" customFormat="false" ht="15" hidden="false" customHeight="true" outlineLevel="0" collapsed="false">
      <c r="A23" s="3" t="s">
        <v>5</v>
      </c>
      <c r="B23" s="3" t="s">
        <v>103</v>
      </c>
      <c r="C23" s="3" t="s">
        <v>104</v>
      </c>
      <c r="D23" s="3" t="s">
        <v>105</v>
      </c>
      <c r="E23" s="3"/>
      <c r="F23" s="7" t="n">
        <v>0.8</v>
      </c>
      <c r="G23" s="3"/>
      <c r="H23" s="3" t="s">
        <v>32</v>
      </c>
      <c r="I23" s="3" t="s">
        <v>33</v>
      </c>
      <c r="J23" s="3" t="s">
        <v>34</v>
      </c>
    </row>
    <row r="24" customFormat="false" ht="15" hidden="false" customHeight="true" outlineLevel="0" collapsed="false">
      <c r="A24" s="3" t="s">
        <v>5</v>
      </c>
      <c r="B24" s="3" t="s">
        <v>106</v>
      </c>
      <c r="C24" s="3" t="s">
        <v>107</v>
      </c>
      <c r="D24" s="3" t="s">
        <v>108</v>
      </c>
      <c r="E24" s="3"/>
      <c r="F24" s="7" t="n">
        <v>0.839</v>
      </c>
      <c r="G24" s="3"/>
      <c r="H24" s="3" t="s">
        <v>32</v>
      </c>
      <c r="I24" s="3" t="s">
        <v>33</v>
      </c>
      <c r="J24" s="3" t="s">
        <v>34</v>
      </c>
    </row>
    <row r="25" customFormat="false" ht="15" hidden="false" customHeight="true" outlineLevel="0" collapsed="false">
      <c r="A25" s="3" t="s">
        <v>5</v>
      </c>
      <c r="B25" s="3" t="s">
        <v>109</v>
      </c>
      <c r="C25" s="3" t="s">
        <v>110</v>
      </c>
      <c r="D25" s="3" t="s">
        <v>111</v>
      </c>
      <c r="E25" s="7" t="n">
        <v>1</v>
      </c>
      <c r="F25" s="7" t="n">
        <v>0.849</v>
      </c>
      <c r="G25" s="3"/>
      <c r="H25" s="3" t="s">
        <v>112</v>
      </c>
      <c r="I25" s="3" t="s">
        <v>33</v>
      </c>
      <c r="J25" s="3" t="s">
        <v>34</v>
      </c>
    </row>
    <row r="26" customFormat="false" ht="23.25" hidden="false" customHeight="true" outlineLevel="0" collapsed="false">
      <c r="A26" s="3" t="s">
        <v>5</v>
      </c>
      <c r="B26" s="3" t="s">
        <v>113</v>
      </c>
      <c r="C26" s="3" t="s">
        <v>114</v>
      </c>
      <c r="D26" s="3" t="s">
        <v>115</v>
      </c>
      <c r="E26" s="7" t="n">
        <v>1</v>
      </c>
      <c r="F26" s="7" t="n">
        <v>0.886</v>
      </c>
      <c r="G26" s="3"/>
      <c r="H26" s="3" t="s">
        <v>112</v>
      </c>
      <c r="I26" s="3" t="s">
        <v>33</v>
      </c>
      <c r="J26" s="3" t="s">
        <v>34</v>
      </c>
    </row>
    <row r="27" customFormat="false" ht="15" hidden="false" customHeight="true" outlineLevel="0" collapsed="false">
      <c r="A27" s="3" t="s">
        <v>5</v>
      </c>
      <c r="B27" s="3" t="s">
        <v>116</v>
      </c>
      <c r="C27" s="3" t="s">
        <v>117</v>
      </c>
      <c r="D27" s="3" t="s">
        <v>118</v>
      </c>
      <c r="E27" s="3"/>
      <c r="F27" s="7" t="n">
        <v>0.8</v>
      </c>
      <c r="G27" s="3"/>
      <c r="H27" s="3" t="s">
        <v>32</v>
      </c>
      <c r="I27" s="3" t="s">
        <v>33</v>
      </c>
      <c r="J27" s="3" t="s">
        <v>34</v>
      </c>
    </row>
    <row r="28" customFormat="false" ht="15" hidden="false" customHeight="true" outlineLevel="0" collapsed="false">
      <c r="A28" s="3" t="s">
        <v>5</v>
      </c>
      <c r="B28" s="3" t="s">
        <v>119</v>
      </c>
      <c r="C28" s="3" t="s">
        <v>120</v>
      </c>
      <c r="D28" s="3" t="s">
        <v>121</v>
      </c>
      <c r="E28" s="7" t="n">
        <v>0.835</v>
      </c>
      <c r="F28" s="3"/>
      <c r="G28" s="3"/>
      <c r="H28" s="3" t="s">
        <v>41</v>
      </c>
      <c r="I28" s="3" t="s">
        <v>33</v>
      </c>
      <c r="J28" s="3" t="s">
        <v>34</v>
      </c>
    </row>
    <row r="29" customFormat="false" ht="15" hidden="false" customHeight="true" outlineLevel="0" collapsed="false">
      <c r="A29" s="8" t="s">
        <v>5</v>
      </c>
      <c r="B29" s="8" t="s">
        <v>29</v>
      </c>
      <c r="C29" s="8" t="s">
        <v>30</v>
      </c>
      <c r="D29" s="8" t="s">
        <v>31</v>
      </c>
      <c r="E29" s="9" t="n">
        <v>0.282</v>
      </c>
      <c r="F29" s="8"/>
      <c r="G29" s="8"/>
      <c r="H29" s="8" t="s">
        <v>41</v>
      </c>
      <c r="I29" s="8" t="s">
        <v>63</v>
      </c>
      <c r="J29" s="8" t="s">
        <v>122</v>
      </c>
    </row>
    <row r="30" customFormat="false" ht="15" hidden="false" customHeight="true" outlineLevel="0" collapsed="false">
      <c r="A30" s="8" t="s">
        <v>5</v>
      </c>
      <c r="B30" s="8" t="s">
        <v>123</v>
      </c>
      <c r="C30" s="8" t="s">
        <v>124</v>
      </c>
      <c r="D30" s="8" t="s">
        <v>125</v>
      </c>
      <c r="E30" s="9" t="n">
        <v>0.228</v>
      </c>
      <c r="F30" s="8"/>
      <c r="G30" s="8"/>
      <c r="H30" s="8" t="s">
        <v>41</v>
      </c>
      <c r="I30" s="8" t="s">
        <v>63</v>
      </c>
      <c r="J30" s="8" t="s">
        <v>126</v>
      </c>
    </row>
    <row r="31" customFormat="false" ht="15" hidden="false" customHeight="true" outlineLevel="0" collapsed="false">
      <c r="A31" s="8" t="s">
        <v>5</v>
      </c>
      <c r="B31" s="8" t="s">
        <v>127</v>
      </c>
      <c r="C31" s="8" t="s">
        <v>128</v>
      </c>
      <c r="D31" s="8" t="s">
        <v>129</v>
      </c>
      <c r="E31" s="9" t="n">
        <v>0.283</v>
      </c>
      <c r="F31" s="8"/>
      <c r="G31" s="8"/>
      <c r="H31" s="8" t="s">
        <v>41</v>
      </c>
      <c r="I31" s="8" t="s">
        <v>63</v>
      </c>
      <c r="J31" s="8" t="s">
        <v>130</v>
      </c>
    </row>
    <row r="32" customFormat="false" ht="15" hidden="false" customHeight="true" outlineLevel="0" collapsed="false">
      <c r="A32" s="8" t="s">
        <v>5</v>
      </c>
      <c r="B32" s="8" t="s">
        <v>131</v>
      </c>
      <c r="C32" s="8" t="s">
        <v>132</v>
      </c>
      <c r="D32" s="8" t="s">
        <v>133</v>
      </c>
      <c r="E32" s="9" t="n">
        <v>0.256</v>
      </c>
      <c r="F32" s="8"/>
      <c r="G32" s="8"/>
      <c r="H32" s="8" t="s">
        <v>41</v>
      </c>
      <c r="I32" s="8" t="s">
        <v>63</v>
      </c>
      <c r="J32" s="8" t="s">
        <v>134</v>
      </c>
    </row>
    <row r="33" customFormat="false" ht="15" hidden="false" customHeight="true" outlineLevel="0" collapsed="false">
      <c r="A33" s="8" t="s">
        <v>5</v>
      </c>
      <c r="B33" s="8" t="s">
        <v>135</v>
      </c>
      <c r="C33" s="8" t="s">
        <v>136</v>
      </c>
      <c r="D33" s="8" t="s">
        <v>137</v>
      </c>
      <c r="E33" s="9" t="n">
        <v>0.256</v>
      </c>
      <c r="F33" s="8"/>
      <c r="G33" s="8"/>
      <c r="H33" s="8" t="s">
        <v>41</v>
      </c>
      <c r="I33" s="8" t="s">
        <v>63</v>
      </c>
      <c r="J33" s="8" t="s">
        <v>134</v>
      </c>
    </row>
    <row r="34" customFormat="false" ht="15" hidden="false" customHeight="true" outlineLevel="0" collapsed="false">
      <c r="A34" s="8" t="s">
        <v>5</v>
      </c>
      <c r="B34" s="8" t="s">
        <v>138</v>
      </c>
      <c r="C34" s="8" t="s">
        <v>139</v>
      </c>
      <c r="D34" s="8" t="s">
        <v>140</v>
      </c>
      <c r="E34" s="9" t="n">
        <v>0.244</v>
      </c>
      <c r="F34" s="8"/>
      <c r="G34" s="8"/>
      <c r="H34" s="8" t="s">
        <v>41</v>
      </c>
      <c r="I34" s="8" t="s">
        <v>63</v>
      </c>
      <c r="J34" s="8" t="s">
        <v>141</v>
      </c>
    </row>
    <row r="35" customFormat="false" ht="15" hidden="false" customHeight="true" outlineLevel="0" collapsed="false">
      <c r="A35" s="8" t="s">
        <v>5</v>
      </c>
      <c r="B35" s="8" t="s">
        <v>142</v>
      </c>
      <c r="C35" s="8" t="s">
        <v>143</v>
      </c>
      <c r="D35" s="8" t="s">
        <v>144</v>
      </c>
      <c r="E35" s="9" t="n">
        <v>0.238</v>
      </c>
      <c r="F35" s="8"/>
      <c r="G35" s="8"/>
      <c r="H35" s="8" t="s">
        <v>41</v>
      </c>
      <c r="I35" s="8" t="s">
        <v>63</v>
      </c>
      <c r="J35" s="8" t="s">
        <v>145</v>
      </c>
    </row>
    <row r="36" customFormat="false" ht="15" hidden="false" customHeight="true" outlineLevel="0" collapsed="false">
      <c r="A36" s="3" t="s">
        <v>6</v>
      </c>
      <c r="B36" s="3" t="s">
        <v>146</v>
      </c>
      <c r="C36" s="3" t="s">
        <v>147</v>
      </c>
      <c r="D36" s="3" t="s">
        <v>148</v>
      </c>
      <c r="E36" s="7" t="n">
        <v>0.955</v>
      </c>
      <c r="F36" s="3"/>
      <c r="G36" s="3"/>
      <c r="H36" s="3" t="s">
        <v>41</v>
      </c>
      <c r="I36" s="3" t="s">
        <v>33</v>
      </c>
      <c r="J36" s="3" t="s">
        <v>34</v>
      </c>
    </row>
    <row r="37" customFormat="false" ht="15" hidden="false" customHeight="true" outlineLevel="0" collapsed="false">
      <c r="A37" s="3" t="s">
        <v>6</v>
      </c>
      <c r="B37" s="3" t="s">
        <v>149</v>
      </c>
      <c r="C37" s="3" t="s">
        <v>150</v>
      </c>
      <c r="D37" s="3" t="s">
        <v>151</v>
      </c>
      <c r="E37" s="3"/>
      <c r="F37" s="7" t="n">
        <v>0.7</v>
      </c>
      <c r="G37" s="3"/>
      <c r="H37" s="3" t="s">
        <v>32</v>
      </c>
      <c r="I37" s="3" t="s">
        <v>33</v>
      </c>
      <c r="J37" s="3" t="s">
        <v>34</v>
      </c>
    </row>
    <row r="38" customFormat="false" ht="15" hidden="false" customHeight="true" outlineLevel="0" collapsed="false">
      <c r="A38" s="3" t="s">
        <v>6</v>
      </c>
      <c r="B38" s="3" t="s">
        <v>152</v>
      </c>
      <c r="C38" s="3" t="s">
        <v>153</v>
      </c>
      <c r="D38" s="3" t="s">
        <v>154</v>
      </c>
      <c r="E38" s="7" t="n">
        <v>0.989</v>
      </c>
      <c r="F38" s="3"/>
      <c r="G38" s="3"/>
      <c r="H38" s="3" t="s">
        <v>41</v>
      </c>
      <c r="I38" s="3" t="s">
        <v>33</v>
      </c>
      <c r="J38" s="3" t="s">
        <v>34</v>
      </c>
    </row>
    <row r="39" customFormat="false" ht="15" hidden="false" customHeight="true" outlineLevel="0" collapsed="false">
      <c r="A39" s="3" t="s">
        <v>6</v>
      </c>
      <c r="B39" s="3" t="s">
        <v>155</v>
      </c>
      <c r="C39" s="3" t="s">
        <v>156</v>
      </c>
      <c r="D39" s="3" t="s">
        <v>157</v>
      </c>
      <c r="E39" s="3"/>
      <c r="F39" s="7" t="n">
        <v>0.7</v>
      </c>
      <c r="G39" s="3"/>
      <c r="H39" s="3" t="s">
        <v>32</v>
      </c>
      <c r="I39" s="3" t="s">
        <v>33</v>
      </c>
      <c r="J39" s="3" t="s">
        <v>34</v>
      </c>
    </row>
    <row r="40" customFormat="false" ht="15" hidden="false" customHeight="true" outlineLevel="0" collapsed="false">
      <c r="A40" s="8" t="s">
        <v>6</v>
      </c>
      <c r="B40" s="8" t="s">
        <v>158</v>
      </c>
      <c r="C40" s="8" t="s">
        <v>159</v>
      </c>
      <c r="D40" s="8" t="s">
        <v>160</v>
      </c>
      <c r="E40" s="9" t="n">
        <v>0.059</v>
      </c>
      <c r="F40" s="8"/>
      <c r="G40" s="8"/>
      <c r="H40" s="8" t="s">
        <v>41</v>
      </c>
      <c r="I40" s="8" t="s">
        <v>63</v>
      </c>
      <c r="J40" s="8" t="s">
        <v>161</v>
      </c>
    </row>
    <row r="41" customFormat="false" ht="15" hidden="false" customHeight="true" outlineLevel="0" collapsed="false">
      <c r="A41" s="8" t="s">
        <v>6</v>
      </c>
      <c r="B41" s="8" t="s">
        <v>162</v>
      </c>
      <c r="C41" s="8" t="s">
        <v>163</v>
      </c>
      <c r="D41" s="8" t="s">
        <v>164</v>
      </c>
      <c r="E41" s="8"/>
      <c r="F41" s="9" t="n">
        <v>0.414</v>
      </c>
      <c r="G41" s="8"/>
      <c r="H41" s="8" t="s">
        <v>32</v>
      </c>
      <c r="I41" s="8" t="s">
        <v>63</v>
      </c>
      <c r="J41" s="8" t="s">
        <v>165</v>
      </c>
    </row>
    <row r="42" customFormat="false" ht="15" hidden="false" customHeight="true" outlineLevel="0" collapsed="false">
      <c r="A42" s="8" t="s">
        <v>6</v>
      </c>
      <c r="B42" s="8" t="s">
        <v>166</v>
      </c>
      <c r="C42" s="8" t="s">
        <v>167</v>
      </c>
      <c r="D42" s="8" t="s">
        <v>168</v>
      </c>
      <c r="E42" s="9" t="n">
        <v>0.144</v>
      </c>
      <c r="F42" s="8"/>
      <c r="G42" s="8"/>
      <c r="H42" s="8" t="s">
        <v>41</v>
      </c>
      <c r="I42" s="8" t="s">
        <v>63</v>
      </c>
      <c r="J42" s="8" t="s">
        <v>169</v>
      </c>
    </row>
    <row r="43" customFormat="false" ht="15" hidden="false" customHeight="true" outlineLevel="0" collapsed="false">
      <c r="A43" s="8" t="s">
        <v>6</v>
      </c>
      <c r="B43" s="8" t="s">
        <v>170</v>
      </c>
      <c r="C43" s="8" t="s">
        <v>171</v>
      </c>
      <c r="D43" s="8" t="s">
        <v>172</v>
      </c>
      <c r="E43" s="9" t="n">
        <v>0.111</v>
      </c>
      <c r="F43" s="8"/>
      <c r="G43" s="8"/>
      <c r="H43" s="8" t="s">
        <v>41</v>
      </c>
      <c r="I43" s="8" t="s">
        <v>63</v>
      </c>
      <c r="J43" s="8" t="s">
        <v>173</v>
      </c>
    </row>
    <row r="44" customFormat="false" ht="15" hidden="false" customHeight="true" outlineLevel="0" collapsed="false">
      <c r="A44" s="8" t="s">
        <v>6</v>
      </c>
      <c r="B44" s="8" t="s">
        <v>174</v>
      </c>
      <c r="C44" s="8" t="s">
        <v>175</v>
      </c>
      <c r="D44" s="8" t="s">
        <v>176</v>
      </c>
      <c r="E44" s="9" t="n">
        <v>0.108</v>
      </c>
      <c r="F44" s="8"/>
      <c r="G44" s="8"/>
      <c r="H44" s="8" t="s">
        <v>41</v>
      </c>
      <c r="I44" s="8" t="s">
        <v>63</v>
      </c>
      <c r="J44" s="8" t="s">
        <v>177</v>
      </c>
    </row>
    <row r="45" customFormat="false" ht="15" hidden="false" customHeight="true" outlineLevel="0" collapsed="false">
      <c r="A45" s="8" t="s">
        <v>6</v>
      </c>
      <c r="B45" s="8" t="s">
        <v>178</v>
      </c>
      <c r="C45" s="8" t="s">
        <v>179</v>
      </c>
      <c r="D45" s="8" t="s">
        <v>180</v>
      </c>
      <c r="E45" s="8"/>
      <c r="F45" s="9" t="n">
        <v>0.51</v>
      </c>
      <c r="G45" s="8"/>
      <c r="H45" s="8" t="s">
        <v>32</v>
      </c>
      <c r="I45" s="8" t="s">
        <v>63</v>
      </c>
      <c r="J45" s="8" t="s">
        <v>181</v>
      </c>
    </row>
    <row r="46" customFormat="false" ht="15" hidden="false" customHeight="true" outlineLevel="0" collapsed="false">
      <c r="A46" s="3" t="s">
        <v>7</v>
      </c>
      <c r="B46" s="3" t="s">
        <v>182</v>
      </c>
      <c r="C46" s="3" t="s">
        <v>183</v>
      </c>
      <c r="D46" s="3" t="s">
        <v>184</v>
      </c>
      <c r="E46" s="3"/>
      <c r="F46" s="3"/>
      <c r="G46" s="7" t="n">
        <v>0.85</v>
      </c>
      <c r="H46" s="3" t="s">
        <v>185</v>
      </c>
      <c r="I46" s="3" t="s">
        <v>33</v>
      </c>
      <c r="J46" s="3" t="s">
        <v>34</v>
      </c>
    </row>
    <row r="47" customFormat="false" ht="15" hidden="false" customHeight="true" outlineLevel="0" collapsed="false">
      <c r="A47" s="3" t="s">
        <v>7</v>
      </c>
      <c r="B47" s="3" t="s">
        <v>186</v>
      </c>
      <c r="C47" s="3" t="s">
        <v>187</v>
      </c>
      <c r="D47" s="3" t="s">
        <v>188</v>
      </c>
      <c r="E47" s="3"/>
      <c r="F47" s="3"/>
      <c r="G47" s="7" t="n">
        <v>0.82</v>
      </c>
      <c r="H47" s="3" t="s">
        <v>185</v>
      </c>
      <c r="I47" s="3" t="s">
        <v>33</v>
      </c>
      <c r="J47" s="3" t="s">
        <v>34</v>
      </c>
    </row>
    <row r="48" customFormat="false" ht="15" hidden="false" customHeight="true" outlineLevel="0" collapsed="false">
      <c r="A48" s="3" t="s">
        <v>7</v>
      </c>
      <c r="B48" s="3" t="s">
        <v>189</v>
      </c>
      <c r="C48" s="3" t="s">
        <v>190</v>
      </c>
      <c r="D48" s="3" t="s">
        <v>191</v>
      </c>
      <c r="E48" s="3"/>
      <c r="F48" s="7" t="n">
        <v>0.85</v>
      </c>
      <c r="G48" s="3"/>
      <c r="H48" s="3" t="s">
        <v>32</v>
      </c>
      <c r="I48" s="3" t="s">
        <v>33</v>
      </c>
      <c r="J48" s="3" t="s">
        <v>34</v>
      </c>
    </row>
    <row r="49" customFormat="false" ht="15" hidden="false" customHeight="true" outlineLevel="0" collapsed="false">
      <c r="A49" s="3" t="s">
        <v>7</v>
      </c>
      <c r="B49" s="3" t="s">
        <v>106</v>
      </c>
      <c r="C49" s="3" t="s">
        <v>107</v>
      </c>
      <c r="D49" s="3" t="s">
        <v>108</v>
      </c>
      <c r="E49" s="3"/>
      <c r="F49" s="7" t="n">
        <v>0.81</v>
      </c>
      <c r="G49" s="3"/>
      <c r="H49" s="3" t="s">
        <v>32</v>
      </c>
      <c r="I49" s="3" t="s">
        <v>33</v>
      </c>
      <c r="J49" s="3" t="s">
        <v>34</v>
      </c>
    </row>
    <row r="50" customFormat="false" ht="15" hidden="false" customHeight="true" outlineLevel="0" collapsed="false">
      <c r="A50" s="3" t="s">
        <v>7</v>
      </c>
      <c r="B50" s="3" t="s">
        <v>192</v>
      </c>
      <c r="C50" s="3" t="s">
        <v>193</v>
      </c>
      <c r="D50" s="3" t="s">
        <v>194</v>
      </c>
      <c r="E50" s="3"/>
      <c r="F50" s="7" t="n">
        <v>0.95</v>
      </c>
      <c r="G50" s="3"/>
      <c r="H50" s="3" t="s">
        <v>32</v>
      </c>
      <c r="I50" s="3" t="s">
        <v>33</v>
      </c>
      <c r="J50" s="3" t="s">
        <v>34</v>
      </c>
    </row>
    <row r="51" customFormat="false" ht="15" hidden="false" customHeight="true" outlineLevel="0" collapsed="false">
      <c r="A51" s="3" t="s">
        <v>7</v>
      </c>
      <c r="B51" s="3" t="s">
        <v>195</v>
      </c>
      <c r="C51" s="3" t="s">
        <v>196</v>
      </c>
      <c r="D51" s="3" t="s">
        <v>197</v>
      </c>
      <c r="E51" s="3"/>
      <c r="F51" s="3"/>
      <c r="G51" s="7" t="n">
        <v>1</v>
      </c>
      <c r="H51" s="3" t="s">
        <v>185</v>
      </c>
      <c r="I51" s="3" t="s">
        <v>33</v>
      </c>
      <c r="J51" s="3" t="s">
        <v>34</v>
      </c>
    </row>
    <row r="52" customFormat="false" ht="15" hidden="false" customHeight="true" outlineLevel="0" collapsed="false">
      <c r="A52" s="3" t="s">
        <v>7</v>
      </c>
      <c r="B52" s="3" t="s">
        <v>198</v>
      </c>
      <c r="C52" s="3" t="s">
        <v>199</v>
      </c>
      <c r="D52" s="3" t="s">
        <v>200</v>
      </c>
      <c r="E52" s="3"/>
      <c r="F52" s="3"/>
      <c r="G52" s="7" t="n">
        <v>1</v>
      </c>
      <c r="H52" s="3" t="s">
        <v>185</v>
      </c>
      <c r="I52" s="3" t="s">
        <v>33</v>
      </c>
      <c r="J52" s="3" t="s">
        <v>34</v>
      </c>
    </row>
    <row r="53" customFormat="false" ht="15" hidden="false" customHeight="true" outlineLevel="0" collapsed="false">
      <c r="A53" s="3" t="s">
        <v>7</v>
      </c>
      <c r="B53" s="3" t="s">
        <v>201</v>
      </c>
      <c r="C53" s="3" t="s">
        <v>202</v>
      </c>
      <c r="D53" s="3" t="s">
        <v>203</v>
      </c>
      <c r="E53" s="3"/>
      <c r="F53" s="7" t="n">
        <v>0.9</v>
      </c>
      <c r="G53" s="3"/>
      <c r="H53" s="3" t="s">
        <v>32</v>
      </c>
      <c r="I53" s="3" t="s">
        <v>33</v>
      </c>
      <c r="J53" s="3" t="s">
        <v>34</v>
      </c>
    </row>
    <row r="54" customFormat="false" ht="15" hidden="false" customHeight="true" outlineLevel="0" collapsed="false">
      <c r="A54" s="3" t="s">
        <v>7</v>
      </c>
      <c r="B54" s="3" t="s">
        <v>204</v>
      </c>
      <c r="C54" s="3" t="s">
        <v>205</v>
      </c>
      <c r="D54" s="3" t="s">
        <v>206</v>
      </c>
      <c r="E54" s="3"/>
      <c r="F54" s="3"/>
      <c r="G54" s="7" t="n">
        <v>0.76</v>
      </c>
      <c r="H54" s="3" t="s">
        <v>185</v>
      </c>
      <c r="I54" s="3" t="s">
        <v>33</v>
      </c>
      <c r="J54" s="3" t="s">
        <v>34</v>
      </c>
    </row>
    <row r="55" customFormat="false" ht="15" hidden="false" customHeight="true" outlineLevel="0" collapsed="false">
      <c r="A55" s="3" t="s">
        <v>7</v>
      </c>
      <c r="B55" s="3" t="s">
        <v>207</v>
      </c>
      <c r="C55" s="3" t="s">
        <v>208</v>
      </c>
      <c r="D55" s="3" t="s">
        <v>209</v>
      </c>
      <c r="E55" s="3"/>
      <c r="F55" s="3"/>
      <c r="G55" s="7" t="n">
        <v>0.75</v>
      </c>
      <c r="H55" s="3" t="s">
        <v>185</v>
      </c>
      <c r="I55" s="3" t="s">
        <v>33</v>
      </c>
      <c r="J55" s="3" t="s">
        <v>34</v>
      </c>
    </row>
  </sheetData>
  <autoFilter ref="A1:J5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2026-09-18T21:34:56Z</dcterms:created>
  <dc:creator>openpyxl</dc:creator>
  <dc:description/>
  <dc:language>en-US</dc:language>
  <cp:lastModifiedBy/>
  <dcterms:modified xsi:type="dcterms:W3CDTF">2026-09-19T09:21:24Z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